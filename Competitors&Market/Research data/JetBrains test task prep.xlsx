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 Pains" sheetId="1" r:id="rId5"/>
    <sheet state="visible" name="Time Spent" sheetId="2" r:id="rId6"/>
    <sheet state="visible" name="B2B pains" sheetId="3" r:id="rId7"/>
    <sheet state="visible" name="Directions" sheetId="4" r:id="rId8"/>
    <sheet state="visible" name="Automization Market Landscape" sheetId="5" r:id="rId9"/>
    <sheet state="visible" name="Sheet10" sheetId="6" r:id="rId10"/>
  </sheets>
  <definedNames>
    <definedName hidden="1" localSheetId="0" name="_xlnm._FilterDatabase">'Dev Pains'!$A$1:$G$8</definedName>
    <definedName hidden="1" localSheetId="1" name="_xlnm._FilterDatabase">'Time Spent'!$A$1:$D$17</definedName>
    <definedName hidden="1" localSheetId="2" name="_xlnm._FilterDatabase">'B2B pains'!$A$1:$G$8</definedName>
    <definedName hidden="1" localSheetId="3" name="_xlnm._FilterDatabase">Directions!$A$1:$F$9</definedName>
    <definedName hidden="1" localSheetId="4" name="_xlnm._FilterDatabase">'Automization Market Landscape'!$A$1:$D$47</definedName>
  </definedNames>
  <calcPr/>
</workbook>
</file>

<file path=xl/sharedStrings.xml><?xml version="1.0" encoding="utf-8"?>
<sst xmlns="http://schemas.openxmlformats.org/spreadsheetml/2006/main" count="348" uniqueCount="205">
  <si>
    <t>Trust points (when utilizing AI)</t>
  </si>
  <si>
    <t>Details (argumentation for reach and freaquency)</t>
  </si>
  <si>
    <t>Source</t>
  </si>
  <si>
    <t>Reach (from 1 to 3)</t>
  </si>
  <si>
    <t>Frequency (from 1 to 3)</t>
  </si>
  <si>
    <t>Probability to make a diff  (from 0.5 to 1)</t>
  </si>
  <si>
    <t>Score</t>
  </si>
  <si>
    <t>Skepticism regarding code accuracy and quality</t>
  </si>
  <si>
    <t>45.7% distrust AI (up 15.3 pp YoY). 75% would ask a person for help when they don’t trust AI answers.</t>
  </si>
  <si>
    <t>https://survey.stackoverflow.co/2025/ai</t>
  </si>
  <si>
    <t>High</t>
  </si>
  <si>
    <t>Increased review and debugging time</t>
  </si>
  <si>
    <t>45% say debugging AI code is more time-consuming</t>
  </si>
  <si>
    <t>Concerns regarding security and vulnerabilities</t>
  </si>
  <si>
    <t>&gt;60% frequently have ethical / security-related concerns about AI-generated code</t>
  </si>
  <si>
    <t>Med</t>
  </si>
  <si>
    <t>AI decision-making opacity and ambiguous accountability for errors (human vs. AI)</t>
  </si>
  <si>
    <t>75% would ask a person for help when they don’t trust AI answers, keeping humans as final arbiters of correctness.</t>
  </si>
  <si>
    <r>
      <rPr>
        <color rgb="FF1155CC"/>
        <u/>
      </rPr>
      <t>https://arxiv.org/html/2502.18468v1</t>
    </r>
    <r>
      <rPr/>
      <t xml:space="preserve"> 
</t>
    </r>
    <r>
      <rPr>
        <color rgb="FF1155CC"/>
        <u/>
      </rPr>
      <t>https://survey.stackoverflow.co/2025/ai</t>
    </r>
    <r>
      <rPr/>
      <t xml:space="preserve"> </t>
    </r>
  </si>
  <si>
    <t>Risk of engineering skill degradation</t>
  </si>
  <si>
    <t>60% believe AI tools lead to less skilled developers (web-dev firstly)</t>
  </si>
  <si>
    <t>https://2025.stateofdevs.com/en-US/</t>
  </si>
  <si>
    <t>Low</t>
  </si>
  <si>
    <t>Fear of data leaks and privacy concerns</t>
  </si>
  <si>
    <t>40% of security incidents involve AI (incident-level). &gt;80% report concerns about data security and privacy. Frequency=Low because measured via incidents, not day-to-day occurrences.</t>
  </si>
  <si>
    <r>
      <rPr>
        <color rgb="FF1155CC"/>
        <u/>
      </rPr>
      <t>https://www.microsoft.com/en-us/security/blog/2024/11/13/microsoft-data-security-index-annual-report-highlights-evolving-generative-ai-security-needs/</t>
    </r>
    <r>
      <rPr/>
      <t xml:space="preserve"> 
</t>
    </r>
    <r>
      <rPr>
        <color rgb="FF1155CC"/>
        <u/>
      </rPr>
      <t>https://survey.stackoverflow.co/2025/a</t>
    </r>
  </si>
  <si>
    <t>Legal uncertainty regarding copyrights and licensing for AI-generated code</t>
  </si>
  <si>
    <t>Survey of 574 GenAI users: broad disagreement and uncertainty about output ownership and copyright risk</t>
  </si>
  <si>
    <r>
      <rPr>
        <color rgb="FF1155CC"/>
        <u/>
      </rPr>
      <t>https://arxiv.org/html/2502.18468v1</t>
    </r>
    <r>
      <rPr/>
      <t xml:space="preserve">   
</t>
    </r>
    <r>
      <rPr>
        <color rgb="FF1155CC"/>
        <u/>
      </rPr>
      <t>https://arxiv.org/html/2411.10877v1</t>
    </r>
  </si>
  <si>
    <t>Activity</t>
  </si>
  <si>
    <t>Actual time spend</t>
  </si>
  <si>
    <t>Ideal time spend</t>
  </si>
  <si>
    <t>Gap</t>
  </si>
  <si>
    <t>Probability to make a diff  (from 0.5 to 1) {assumption symbol}</t>
  </si>
  <si>
    <t>Notes</t>
  </si>
  <si>
    <t>Security/Compliance</t>
  </si>
  <si>
    <t>Opportunity to impower on the planning step</t>
  </si>
  <si>
    <t>Communication</t>
  </si>
  <si>
    <t>Debugging</t>
  </si>
  <si>
    <t>Opportunity to keep usefull and updated spec</t>
  </si>
  <si>
    <t>Customer Support</t>
  </si>
  <si>
    <t>-</t>
  </si>
  <si>
    <t>Env Setup</t>
  </si>
  <si>
    <t>Monitoring/Dashboard</t>
  </si>
  <si>
    <t>Task Mgmt (ADO)</t>
  </si>
  <si>
    <t>Opportunity to automize via agent orcestration</t>
  </si>
  <si>
    <t>Code Refactoring</t>
  </si>
  <si>
    <t>Test Authoring</t>
  </si>
  <si>
    <t>Documentation</t>
  </si>
  <si>
    <t>Automazation already have widely adopted</t>
  </si>
  <si>
    <t>Mentoring/Onboarding</t>
  </si>
  <si>
    <t>Tech Presentations</t>
  </si>
  <si>
    <t>PR/Code Review</t>
  </si>
  <si>
    <t>Human in the loop issue mostly depends on AI models base quality evolution</t>
  </si>
  <si>
    <t>Learning New Tech</t>
  </si>
  <si>
    <t>Sys Arch/Design</t>
  </si>
  <si>
    <t>Reduce time spent on low-value work, boosting satisfaction, retention, and tenure.</t>
  </si>
  <si>
    <t>Coding</t>
  </si>
  <si>
    <t>Takeaways: We see an opportunity to cut low-value overhead and reinvest the saved capacity into the core work developers value most: Coding, System Architecture/Design, Security/Compliance, Debugging, and Env Setup.</t>
  </si>
  <si>
    <r>
      <rPr/>
      <t xml:space="preserve">Notes: Time spend data is based on </t>
    </r>
    <r>
      <rPr>
        <color rgb="FF1155CC"/>
        <u/>
      </rPr>
      <t>https://www.microsoft.com/en-us/research/wp-content/uploads/2024/11/Time-Warp-Developer-Productivity-Study.pdf</t>
    </r>
    <r>
      <rPr/>
      <t xml:space="preserve"> </t>
    </r>
  </si>
  <si>
    <t>B2B pains</t>
  </si>
  <si>
    <t>Details (argumentation for reach and frequency)</t>
  </si>
  <si>
    <t>Reach (1-3)</t>
  </si>
  <si>
    <t>Frequency (1-3)</t>
  </si>
  <si>
    <t>Probability to make a diff (0.5-1)</t>
  </si>
  <si>
    <t>Delivery predictability and lead time variability</t>
  </si>
  <si>
    <t>This waiting period affects planning accuracy because work depending on unpredictable reviewers cannot be reliably forecast.</t>
  </si>
  <si>
    <t>https://axify.io/blog/lead-time-in-software-development</t>
  </si>
  <si>
    <t>Quality and reliability risk from software errors</t>
  </si>
  <si>
    <t>Poor software quality costs US companies upwards of $2.08 trillion annually.</t>
  </si>
  <si>
    <t>https://raygun.com/blog/cost-of-software-errors/</t>
  </si>
  <si>
    <t>Documentation debt harming onboarding and satisfaction and speed</t>
  </si>
  <si>
    <t>41% of developers report this as a major hindrance. “Our research shows that 97% of developers are losing significant time to inefficiencies…”</t>
  </si>
  <si>
    <t>https://www.atlassian.com/software/compass/resources/state-of-developer-2024</t>
  </si>
  <si>
    <t>Token Spent Optimization</t>
  </si>
  <si>
    <t>“On average, token consumption decreased by 15–20%…”</t>
  </si>
  <si>
    <t>https://arxiv.org/html/2504.15989v2</t>
  </si>
  <si>
    <t>Developer burnout from cognitive load and on-call burden</t>
  </si>
  <si>
    <t>83% of surveyed software engineers reported feelings of burnout.</t>
  </si>
  <si>
    <t>https://www.softwareseni.com/developer-burnout-and-cognitive-load-in-the-devops-era/</t>
  </si>
  <si>
    <t>Productivity loss from technical debt waste</t>
  </si>
  <si>
    <t>Developers waste on average 23% of their time due to technical debt.</t>
  </si>
  <si>
    <t>https://research.chalmers.se/publication/511450/file/511450_Fulltext.pdf</t>
  </si>
  <si>
    <t>Compliance overhead from AI and tooling</t>
  </si>
  <si>
    <t>Compliance overhead increases 10–20% in regulated industries due to AI audit and privacy controls.</t>
  </si>
  <si>
    <t>https://www.softwareseni.com/the-real-economics-of-ai-coding-beyond-vendor-productivity-claims/</t>
  </si>
  <si>
    <t>Direction</t>
  </si>
  <si>
    <t>Category</t>
  </si>
  <si>
    <t>Impact</t>
  </si>
  <si>
    <t>Effort</t>
  </si>
  <si>
    <t>Conf.</t>
  </si>
  <si>
    <t>AI-dev transparency: code &amp; architecture</t>
  </si>
  <si>
    <t>Distrust issues</t>
  </si>
  <si>
    <t>Security &amp; Compliance (proactive assist)</t>
  </si>
  <si>
    <t>Time Spent</t>
  </si>
  <si>
    <t>Review &amp; Debug assist</t>
  </si>
  <si>
    <t>Spec Formalisation Assist (proactive assist)</t>
  </si>
  <si>
    <t>Dev Env Simplification</t>
  </si>
  <si>
    <t>Delivery time variability (accurate forecasting)</t>
  </si>
  <si>
    <t>SDLC Domain</t>
  </si>
  <si>
    <t>SDLC SubDomain</t>
  </si>
  <si>
    <t>Layer</t>
  </si>
  <si>
    <t>Top 3 automation brands / tools</t>
  </si>
  <si>
    <t>Plan</t>
  </si>
  <si>
    <t>Execution Planning</t>
  </si>
  <si>
    <t>GitHub Spec Kit + Kiro + Tessl</t>
  </si>
  <si>
    <t>Release Planning</t>
  </si>
  <si>
    <t>Confluence + GitHub Pages + Read the Docs</t>
  </si>
  <si>
    <t>Requirements</t>
  </si>
  <si>
    <t>Requirements Formalization</t>
  </si>
  <si>
    <t>Notion + Figma + Miro</t>
  </si>
  <si>
    <t>Backlog Structuring</t>
  </si>
  <si>
    <t>Jira + Linear + GitHub Issues</t>
  </si>
  <si>
    <t>Design</t>
  </si>
  <si>
    <t>Feature Design</t>
  </si>
  <si>
    <t>Figma + Framer + Adobe XD</t>
  </si>
  <si>
    <t>System Design</t>
  </si>
  <si>
    <t>Structurizr + Lucidchart + Miro</t>
  </si>
  <si>
    <t>API Specification</t>
  </si>
  <si>
    <t>Postman + SwaggerHub + Stoplight</t>
  </si>
  <si>
    <t>Data Model</t>
  </si>
  <si>
    <t>dbdiagram.io + Liquibase + Flyway</t>
  </si>
  <si>
    <t>Architecture Alignment</t>
  </si>
  <si>
    <t>Lattix + SonarQube + CodeScene</t>
  </si>
  <si>
    <t>Build</t>
  </si>
  <si>
    <t>IDE generic</t>
  </si>
  <si>
    <t xml:space="preserve">JetBrains + VS Code </t>
  </si>
  <si>
    <t>AI-first IDE</t>
  </si>
  <si>
    <t>Cursor + Windsurf + GitHub Copilot</t>
  </si>
  <si>
    <t>Real-time Guidance</t>
  </si>
  <si>
    <t>ESLint + Prettier + mypy</t>
  </si>
  <si>
    <t>Code Style</t>
  </si>
  <si>
    <t>Prettier + Black + gofmt</t>
  </si>
  <si>
    <t>Drift Detection</t>
  </si>
  <si>
    <t>OpenRewrite + Renovate + driftctl</t>
  </si>
  <si>
    <t>Policy &amp; Rules</t>
  </si>
  <si>
    <t>Semgrep + Snyk + GitHub Checks</t>
  </si>
  <si>
    <t>Test</t>
  </si>
  <si>
    <t>Code Coverage</t>
  </si>
  <si>
    <t>Codecov + Coveralls + SonarQube</t>
  </si>
  <si>
    <t>PR Review Process</t>
  </si>
  <si>
    <t>GitHub + Gerrit + GitLab</t>
  </si>
  <si>
    <t>Unit Tests</t>
  </si>
  <si>
    <t>JUnit + pytest + Jest</t>
  </si>
  <si>
    <t>Integration Tests</t>
  </si>
  <si>
    <t>Playwright + Cypress + TestCafe</t>
  </si>
  <si>
    <t>Contract Testing</t>
  </si>
  <si>
    <t>Pact + Schemathesis + Postman</t>
  </si>
  <si>
    <t>BDD Scenarios</t>
  </si>
  <si>
    <t>Cucumber + SpecFlow + GitHub</t>
  </si>
  <si>
    <t>Performance Testing</t>
  </si>
  <si>
    <t>k6 + JMeter + Gatling</t>
  </si>
  <si>
    <t>Security Testing</t>
  </si>
  <si>
    <t>Snyk + Semgrep + OWASP ZAP</t>
  </si>
  <si>
    <t>Release</t>
  </si>
  <si>
    <t>Build Determinism</t>
  </si>
  <si>
    <t>npm + pnpm + Cargo</t>
  </si>
  <si>
    <t>Pipeline Config</t>
  </si>
  <si>
    <t>GitHub Actions + GitLab CI + Jenkins</t>
  </si>
  <si>
    <t>Artifact Provenance</t>
  </si>
  <si>
    <t>Cosign + Syft + in-toto</t>
  </si>
  <si>
    <t>Deployment Safety</t>
  </si>
  <si>
    <t>LaunchDarkly + Argo Rollouts + Flagger</t>
  </si>
  <si>
    <t>Environment Config</t>
  </si>
  <si>
    <t>Kubernetes + Helm + Kustomize</t>
  </si>
  <si>
    <t>Release Gates</t>
  </si>
  <si>
    <t>GitHub Environments + Jira + GitLab</t>
  </si>
  <si>
    <t>Operate</t>
  </si>
  <si>
    <t>Operate: Observability &amp; Reliability</t>
  </si>
  <si>
    <t>Health Monitoring</t>
  </si>
  <si>
    <t>Prometheus + Grafana + Datadog</t>
  </si>
  <si>
    <t>Error Tracking</t>
  </si>
  <si>
    <t>Sentry + Bugsnag + Rollbar</t>
  </si>
  <si>
    <t>Performance Metrics</t>
  </si>
  <si>
    <t>Datadog + New Relic + AppDynamics</t>
  </si>
  <si>
    <t>Log Aggregation</t>
  </si>
  <si>
    <t>ELK + Loki + Splunk</t>
  </si>
  <si>
    <t>Distributed Tracing</t>
  </si>
  <si>
    <t>OpenTelemetry + Jaeger + Honeycomb</t>
  </si>
  <si>
    <t>SLO Tracking</t>
  </si>
  <si>
    <t>Nobl9 + Grafana SLO + Datadog</t>
  </si>
  <si>
    <t>Operate: Incident &amp; Ops Automation</t>
  </si>
  <si>
    <t>Incident Response</t>
  </si>
  <si>
    <t>PagerDuty + Opsgenie + xMatters</t>
  </si>
  <si>
    <t>Postmortems</t>
  </si>
  <si>
    <t>Confluence + Google Docs + Notion</t>
  </si>
  <si>
    <t>Runbook Automation</t>
  </si>
  <si>
    <t>Rundeck + StackStorm + Ansible</t>
  </si>
  <si>
    <t>Operate: Knowledge &amp; Learning</t>
  </si>
  <si>
    <t>Living Docs</t>
  </si>
  <si>
    <t>Docusaurus + MkDocs + Sphinx</t>
  </si>
  <si>
    <t>Code-Docs Sync</t>
  </si>
  <si>
    <t>Swagger UI + TypeDoc + Redoc</t>
  </si>
  <si>
    <t>Architecture Decision Log</t>
  </si>
  <si>
    <t>adr-tools + Log4brains + Confluence</t>
  </si>
  <si>
    <t>Knowledge Sharing</t>
  </si>
  <si>
    <t>Confluence + Notion + Slab</t>
  </si>
  <si>
    <t>Change Log</t>
  </si>
  <si>
    <t>GitHub Releases + Release Drafter + GitLab Releases</t>
  </si>
  <si>
    <t>User Feedback</t>
  </si>
  <si>
    <t>Intercom + Productboard + Canny</t>
  </si>
  <si>
    <t>Analytics</t>
  </si>
  <si>
    <t>Amplitude + Mixpanel + GA4</t>
  </si>
  <si>
    <t>A/B Testing</t>
  </si>
  <si>
    <t>LaunchDarkly + Optimizely + VWO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</si>
</sst>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000000"/>
      <name val="Inherit"/>
    </font>
    <font>
      <b/>
      <color rgb="FF000000"/>
      <name val="Inherit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1" xfId="0" applyAlignment="1" applyBorder="1" applyFont="1" applyNumberFormat="1">
      <alignment horizontal="left" readingOrder="0"/>
    </xf>
    <xf borderId="1" fillId="0" fontId="4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2" fontId="2" numFmtId="0" xfId="0" applyAlignment="1" applyBorder="1" applyFill="1" applyFont="1">
      <alignment horizontal="left" readingOrder="0"/>
    </xf>
    <xf borderId="1" fillId="2" fontId="2" numFmtId="10" xfId="0" applyAlignment="1" applyBorder="1" applyFont="1" applyNumberFormat="1">
      <alignment horizontal="left" readingOrder="0"/>
    </xf>
    <xf borderId="1" fillId="2" fontId="2" numFmtId="10" xfId="0" applyAlignment="1" applyBorder="1" applyFont="1" applyNumberFormat="1">
      <alignment horizontal="left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10" xfId="0" applyAlignment="1" applyBorder="1" applyFont="1" applyNumberFormat="1">
      <alignment horizontal="left" readingOrder="0"/>
    </xf>
    <xf borderId="1" fillId="0" fontId="2" numFmtId="10" xfId="0" applyAlignment="1" applyBorder="1" applyFont="1" applyNumberFormat="1">
      <alignment horizontal="left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1" fillId="2" fontId="6" numFmtId="0" xfId="0" applyAlignment="1" applyBorder="1" applyFont="1">
      <alignment horizontal="left" readingOrder="0"/>
    </xf>
    <xf borderId="1" fillId="2" fontId="2" numFmtId="1" xfId="0" applyAlignment="1" applyBorder="1" applyFont="1" applyNumberFormat="1">
      <alignment horizontal="left" readingOrder="0"/>
    </xf>
    <xf borderId="0" fillId="2" fontId="2" numFmtId="0" xfId="0" applyFont="1"/>
    <xf borderId="1" fillId="0" fontId="7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 shrinkToFit="0" wrapText="0"/>
    </xf>
    <xf borderId="1" fillId="0" fontId="9" numFmtId="0" xfId="0" applyAlignment="1" applyBorder="1" applyFont="1">
      <alignment horizontal="left" readingOrder="0" shrinkToFit="0" wrapText="0"/>
    </xf>
    <xf borderId="1" fillId="0" fontId="9" numFmtId="0" xfId="0" applyAlignment="1" applyBorder="1" applyFont="1">
      <alignment horizontal="center" readingOrder="0" shrinkToFit="0" wrapText="0"/>
    </xf>
    <xf borderId="1" fillId="2" fontId="8" numFmtId="0" xfId="0" applyAlignment="1" applyBorder="1" applyFont="1">
      <alignment horizontal="left" readingOrder="0" shrinkToFit="0" wrapText="0"/>
    </xf>
    <xf borderId="1" fillId="2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readingOrder="0" vertical="bottom"/>
    </xf>
    <xf borderId="1" fillId="0" fontId="11" numFmtId="0" xfId="0" applyAlignment="1" applyBorder="1" applyFont="1">
      <alignment vertical="bottom"/>
    </xf>
    <xf borderId="1" fillId="0" fontId="11" numFmtId="0" xfId="0" applyAlignment="1" applyBorder="1" applyFont="1">
      <alignment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urvey.stackoverflow.co/2025/ai" TargetMode="External"/><Relationship Id="rId2" Type="http://schemas.openxmlformats.org/officeDocument/2006/relationships/hyperlink" Target="https://survey.stackoverflow.co/2025/ai" TargetMode="External"/><Relationship Id="rId3" Type="http://schemas.openxmlformats.org/officeDocument/2006/relationships/hyperlink" Target="https://survey.stackoverflow.co/2025/ai" TargetMode="External"/><Relationship Id="rId4" Type="http://schemas.openxmlformats.org/officeDocument/2006/relationships/hyperlink" Target="https://arxiv.org/html/2502.18468v1" TargetMode="External"/><Relationship Id="rId5" Type="http://schemas.openxmlformats.org/officeDocument/2006/relationships/hyperlink" Target="https://2025.stateofdevs.com/en-US/" TargetMode="External"/><Relationship Id="rId6" Type="http://schemas.openxmlformats.org/officeDocument/2006/relationships/hyperlink" Target="https://www.microsoft.com/en-us/security/blog/2024/11/13/microsoft-data-security-index-annual-report-highlights-evolving-generative-ai-security-needs/" TargetMode="External"/><Relationship Id="rId7" Type="http://schemas.openxmlformats.org/officeDocument/2006/relationships/hyperlink" Target="https://arxiv.org/html/2502.18468v1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crosoft.com/en-us/research/wp-content/uploads/2024/11/Time-Warp-Developer-Productivity-Study.pdf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xify.io/blog/lead-time-in-software-development" TargetMode="External"/><Relationship Id="rId2" Type="http://schemas.openxmlformats.org/officeDocument/2006/relationships/hyperlink" Target="https://raygun.com/blog/cost-of-software-errors/" TargetMode="External"/><Relationship Id="rId3" Type="http://schemas.openxmlformats.org/officeDocument/2006/relationships/hyperlink" Target="https://www.atlassian.com/software/compass/resources/state-of-developer-2024" TargetMode="External"/><Relationship Id="rId4" Type="http://schemas.openxmlformats.org/officeDocument/2006/relationships/hyperlink" Target="https://arxiv.org/html/2504.15989v2" TargetMode="External"/><Relationship Id="rId5" Type="http://schemas.openxmlformats.org/officeDocument/2006/relationships/hyperlink" Target="https://www.softwareseni.com/developer-burnout-and-cognitive-load-in-the-devops-era/" TargetMode="External"/><Relationship Id="rId6" Type="http://schemas.openxmlformats.org/officeDocument/2006/relationships/hyperlink" Target="https://research.chalmers.se/publication/511450/file/511450_Fulltext.pdf" TargetMode="External"/><Relationship Id="rId7" Type="http://schemas.openxmlformats.org/officeDocument/2006/relationships/hyperlink" Target="https://www.softwareseni.com/the-real-economics-of-ai-coding-beyond-vendor-productivity-claims/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63"/>
    <col customWidth="1" min="2" max="2" width="86.5"/>
    <col customWidth="1" min="3" max="3" width="28.75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 t="s">
        <v>7</v>
      </c>
      <c r="B2" s="3" t="s">
        <v>8</v>
      </c>
      <c r="C2" s="4" t="s">
        <v>9</v>
      </c>
      <c r="D2" s="3" t="s">
        <v>10</v>
      </c>
      <c r="E2" s="3" t="s">
        <v>10</v>
      </c>
      <c r="F2" s="3" t="s">
        <v>10</v>
      </c>
      <c r="G2" s="5">
        <v>9.0</v>
      </c>
    </row>
    <row r="3">
      <c r="A3" s="3" t="s">
        <v>11</v>
      </c>
      <c r="B3" s="3" t="s">
        <v>12</v>
      </c>
      <c r="C3" s="6" t="s">
        <v>9</v>
      </c>
      <c r="D3" s="3" t="s">
        <v>10</v>
      </c>
      <c r="E3" s="3" t="s">
        <v>10</v>
      </c>
      <c r="F3" s="3" t="s">
        <v>10</v>
      </c>
      <c r="G3" s="5">
        <v>9.0</v>
      </c>
    </row>
    <row r="4">
      <c r="A4" s="3" t="s">
        <v>13</v>
      </c>
      <c r="B4" s="3" t="s">
        <v>14</v>
      </c>
      <c r="C4" s="6" t="s">
        <v>9</v>
      </c>
      <c r="D4" s="3" t="s">
        <v>10</v>
      </c>
      <c r="E4" s="3" t="s">
        <v>10</v>
      </c>
      <c r="F4" s="3" t="s">
        <v>15</v>
      </c>
      <c r="G4" s="5">
        <v>6.75</v>
      </c>
    </row>
    <row r="5" ht="15.75" customHeight="1">
      <c r="A5" s="3" t="s">
        <v>16</v>
      </c>
      <c r="B5" s="3" t="s">
        <v>17</v>
      </c>
      <c r="C5" s="6" t="s">
        <v>18</v>
      </c>
      <c r="D5" s="3" t="s">
        <v>15</v>
      </c>
      <c r="E5" s="3" t="s">
        <v>15</v>
      </c>
      <c r="F5" s="3" t="s">
        <v>15</v>
      </c>
      <c r="G5" s="5">
        <v>3.0</v>
      </c>
    </row>
    <row r="6">
      <c r="A6" s="3" t="s">
        <v>19</v>
      </c>
      <c r="B6" s="3" t="s">
        <v>20</v>
      </c>
      <c r="C6" s="4" t="s">
        <v>21</v>
      </c>
      <c r="D6" s="3" t="s">
        <v>15</v>
      </c>
      <c r="E6" s="3" t="s">
        <v>15</v>
      </c>
      <c r="F6" s="3" t="s">
        <v>22</v>
      </c>
      <c r="G6" s="5">
        <v>2.0</v>
      </c>
    </row>
    <row r="7" ht="17.25" customHeight="1">
      <c r="A7" s="3" t="s">
        <v>23</v>
      </c>
      <c r="B7" s="3" t="s">
        <v>24</v>
      </c>
      <c r="C7" s="6" t="s">
        <v>25</v>
      </c>
      <c r="D7" s="3" t="s">
        <v>15</v>
      </c>
      <c r="E7" s="3" t="s">
        <v>22</v>
      </c>
      <c r="F7" s="3" t="s">
        <v>15</v>
      </c>
      <c r="G7" s="5">
        <v>1.5</v>
      </c>
    </row>
    <row r="8" ht="16.5" customHeight="1">
      <c r="A8" s="3" t="s">
        <v>26</v>
      </c>
      <c r="B8" s="3" t="s">
        <v>27</v>
      </c>
      <c r="C8" s="6" t="s">
        <v>28</v>
      </c>
      <c r="D8" s="3" t="s">
        <v>15</v>
      </c>
      <c r="E8" s="3" t="s">
        <v>22</v>
      </c>
      <c r="F8" s="3" t="s">
        <v>15</v>
      </c>
      <c r="G8" s="5">
        <v>1.5</v>
      </c>
    </row>
  </sheetData>
  <autoFilter ref="$A$1:$G$8">
    <sortState ref="A1:G8">
      <sortCondition descending="1" ref="G1:G8"/>
    </sortState>
  </autoFilter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0.38"/>
    <col customWidth="1" min="3" max="3" width="16.5"/>
    <col customWidth="1" min="5" max="5" width="12.5"/>
    <col customWidth="1" min="6" max="6" width="65.25"/>
  </cols>
  <sheetData>
    <row r="1">
      <c r="A1" s="7" t="s">
        <v>29</v>
      </c>
      <c r="B1" s="7" t="s">
        <v>30</v>
      </c>
      <c r="C1" s="7" t="s">
        <v>31</v>
      </c>
      <c r="D1" s="7" t="s">
        <v>32</v>
      </c>
      <c r="E1" s="1" t="s">
        <v>33</v>
      </c>
      <c r="F1" s="1" t="s">
        <v>34</v>
      </c>
    </row>
    <row r="2">
      <c r="A2" s="8" t="s">
        <v>35</v>
      </c>
      <c r="B2" s="9">
        <v>0.114765695</v>
      </c>
      <c r="C2" s="9">
        <v>0.030748145</v>
      </c>
      <c r="D2" s="10">
        <f t="shared" ref="D2:D17" si="1">B2-C2</f>
        <v>0.08401755</v>
      </c>
      <c r="E2" s="11" t="s">
        <v>15</v>
      </c>
      <c r="F2" s="11" t="s">
        <v>36</v>
      </c>
    </row>
    <row r="3">
      <c r="A3" s="8" t="s">
        <v>37</v>
      </c>
      <c r="B3" s="9">
        <v>0.129460952</v>
      </c>
      <c r="C3" s="9">
        <v>0.065688487</v>
      </c>
      <c r="D3" s="10">
        <f t="shared" si="1"/>
        <v>0.063772465</v>
      </c>
      <c r="E3" s="11" t="s">
        <v>22</v>
      </c>
      <c r="F3" s="11" t="s">
        <v>36</v>
      </c>
    </row>
    <row r="4">
      <c r="A4" s="8" t="s">
        <v>38</v>
      </c>
      <c r="B4" s="9">
        <v>0.111966311</v>
      </c>
      <c r="C4" s="9">
        <v>0.074773258</v>
      </c>
      <c r="D4" s="10">
        <f t="shared" si="1"/>
        <v>0.037193053</v>
      </c>
      <c r="E4" s="11" t="s">
        <v>10</v>
      </c>
      <c r="F4" s="11" t="s">
        <v>39</v>
      </c>
    </row>
    <row r="5">
      <c r="A5" s="12" t="s">
        <v>40</v>
      </c>
      <c r="B5" s="13">
        <v>0.074877993</v>
      </c>
      <c r="C5" s="13">
        <v>0.03983191</v>
      </c>
      <c r="D5" s="14">
        <f t="shared" si="1"/>
        <v>0.035046083</v>
      </c>
      <c r="E5" s="3" t="s">
        <v>22</v>
      </c>
      <c r="F5" s="3" t="s">
        <v>41</v>
      </c>
    </row>
    <row r="6">
      <c r="A6" s="8" t="s">
        <v>42</v>
      </c>
      <c r="B6" s="9">
        <v>0.037788668</v>
      </c>
      <c r="C6" s="9">
        <v>0.015374073</v>
      </c>
      <c r="D6" s="10">
        <f t="shared" si="1"/>
        <v>0.022414595</v>
      </c>
      <c r="E6" s="11" t="s">
        <v>15</v>
      </c>
      <c r="F6" s="11" t="s">
        <v>39</v>
      </c>
    </row>
    <row r="7">
      <c r="A7" s="12" t="s">
        <v>43</v>
      </c>
      <c r="B7" s="13">
        <v>0.029391522</v>
      </c>
      <c r="C7" s="13">
        <v>0.022361739</v>
      </c>
      <c r="D7" s="14">
        <f t="shared" si="1"/>
        <v>0.007029783</v>
      </c>
      <c r="E7" s="3" t="s">
        <v>22</v>
      </c>
      <c r="F7" s="3" t="s">
        <v>41</v>
      </c>
    </row>
    <row r="8">
      <c r="A8" s="12" t="s">
        <v>44</v>
      </c>
      <c r="B8" s="13">
        <v>0.020294026</v>
      </c>
      <c r="C8" s="13">
        <v>0.013276968</v>
      </c>
      <c r="D8" s="14">
        <f t="shared" si="1"/>
        <v>0.007017058</v>
      </c>
      <c r="E8" s="3" t="s">
        <v>15</v>
      </c>
      <c r="F8" s="3" t="s">
        <v>45</v>
      </c>
    </row>
    <row r="9">
      <c r="A9" s="12" t="s">
        <v>46</v>
      </c>
      <c r="B9" s="13">
        <v>0.052483925</v>
      </c>
      <c r="C9" s="13">
        <v>0.047518946</v>
      </c>
      <c r="D9" s="14">
        <f t="shared" si="1"/>
        <v>0.004964979</v>
      </c>
      <c r="E9" s="3" t="s">
        <v>15</v>
      </c>
      <c r="F9" s="3" t="s">
        <v>39</v>
      </c>
    </row>
    <row r="10">
      <c r="A10" s="12" t="s">
        <v>47</v>
      </c>
      <c r="B10" s="13">
        <v>0.048285856</v>
      </c>
      <c r="C10" s="13">
        <v>0.051712149</v>
      </c>
      <c r="D10" s="14">
        <f t="shared" si="1"/>
        <v>-0.003426293</v>
      </c>
      <c r="E10" s="3" t="s">
        <v>22</v>
      </c>
      <c r="F10" s="3" t="s">
        <v>41</v>
      </c>
    </row>
    <row r="11">
      <c r="A11" s="12" t="s">
        <v>48</v>
      </c>
      <c r="B11" s="13">
        <v>0.037089325</v>
      </c>
      <c r="C11" s="13">
        <v>0.042627378</v>
      </c>
      <c r="D11" s="14">
        <f t="shared" si="1"/>
        <v>-0.005538053</v>
      </c>
      <c r="E11" s="3" t="s">
        <v>15</v>
      </c>
      <c r="F11" s="3" t="s">
        <v>49</v>
      </c>
    </row>
    <row r="12">
      <c r="A12" s="12" t="s">
        <v>50</v>
      </c>
      <c r="B12" s="13">
        <v>0.025891787</v>
      </c>
      <c r="C12" s="13">
        <v>0.037037447</v>
      </c>
      <c r="D12" s="14">
        <f t="shared" si="1"/>
        <v>-0.01114566</v>
      </c>
      <c r="E12" s="3" t="s">
        <v>22</v>
      </c>
      <c r="F12" s="3" t="s">
        <v>41</v>
      </c>
    </row>
    <row r="13">
      <c r="A13" s="12" t="s">
        <v>51</v>
      </c>
      <c r="B13" s="13">
        <v>0.005598769</v>
      </c>
      <c r="C13" s="13">
        <v>0.016771807</v>
      </c>
      <c r="D13" s="14">
        <f t="shared" si="1"/>
        <v>-0.011173038</v>
      </c>
      <c r="E13" s="3" t="s">
        <v>22</v>
      </c>
      <c r="F13" s="3" t="s">
        <v>41</v>
      </c>
    </row>
    <row r="14">
      <c r="A14" s="12" t="s">
        <v>52</v>
      </c>
      <c r="B14" s="13">
        <v>0.058782036</v>
      </c>
      <c r="C14" s="13">
        <v>0.071278419</v>
      </c>
      <c r="D14" s="14">
        <f t="shared" si="1"/>
        <v>-0.012496383</v>
      </c>
      <c r="E14" s="3" t="s">
        <v>22</v>
      </c>
      <c r="F14" s="3" t="s">
        <v>53</v>
      </c>
    </row>
    <row r="15">
      <c r="A15" s="12" t="s">
        <v>54</v>
      </c>
      <c r="B15" s="13">
        <v>0.025192445</v>
      </c>
      <c r="C15" s="13">
        <v>0.065688487</v>
      </c>
      <c r="D15" s="14">
        <f t="shared" si="1"/>
        <v>-0.040496042</v>
      </c>
      <c r="E15" s="3" t="s">
        <v>22</v>
      </c>
      <c r="F15" s="3" t="s">
        <v>41</v>
      </c>
    </row>
    <row r="16">
      <c r="A16" s="8" t="s">
        <v>55</v>
      </c>
      <c r="B16" s="9">
        <v>0.0888729</v>
      </c>
      <c r="C16" s="9">
        <v>0.153738713</v>
      </c>
      <c r="D16" s="10">
        <f t="shared" si="1"/>
        <v>-0.064865813</v>
      </c>
      <c r="E16" s="11" t="s">
        <v>10</v>
      </c>
      <c r="F16" s="11" t="s">
        <v>56</v>
      </c>
    </row>
    <row r="17">
      <c r="A17" s="8" t="s">
        <v>57</v>
      </c>
      <c r="B17" s="9">
        <v>0.13925779</v>
      </c>
      <c r="C17" s="9">
        <v>0.251572074</v>
      </c>
      <c r="D17" s="10">
        <f t="shared" si="1"/>
        <v>-0.112314284</v>
      </c>
      <c r="E17" s="11" t="s">
        <v>10</v>
      </c>
      <c r="F17" s="11" t="s">
        <v>56</v>
      </c>
    </row>
    <row r="19">
      <c r="A19" s="15" t="s">
        <v>58</v>
      </c>
    </row>
    <row r="20">
      <c r="A20" s="16" t="s">
        <v>59</v>
      </c>
    </row>
  </sheetData>
  <autoFilter ref="$A$1:$D$17">
    <sortState ref="A1:D17">
      <sortCondition descending="1" ref="D1:D17"/>
    </sortState>
  </autoFilter>
  <hyperlinks>
    <hyperlink r:id="rId1" ref="A20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93.88"/>
  </cols>
  <sheetData>
    <row r="1">
      <c r="A1" s="1" t="s">
        <v>60</v>
      </c>
      <c r="B1" s="1" t="s">
        <v>61</v>
      </c>
      <c r="C1" s="1" t="s">
        <v>2</v>
      </c>
      <c r="D1" s="1" t="s">
        <v>62</v>
      </c>
      <c r="E1" s="1" t="s">
        <v>63</v>
      </c>
      <c r="F1" s="1" t="s">
        <v>64</v>
      </c>
      <c r="G1" s="1" t="s">
        <v>6</v>
      </c>
    </row>
    <row r="2">
      <c r="A2" s="8" t="s">
        <v>65</v>
      </c>
      <c r="B2" s="8" t="s">
        <v>66</v>
      </c>
      <c r="C2" s="17" t="s">
        <v>67</v>
      </c>
      <c r="D2" s="8">
        <v>3.0</v>
      </c>
      <c r="E2" s="8">
        <v>2.0</v>
      </c>
      <c r="F2" s="8">
        <v>0.75</v>
      </c>
      <c r="G2" s="18">
        <f t="shared" ref="G2:G8" si="1">D2*E2*F2</f>
        <v>4.5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8" t="s">
        <v>68</v>
      </c>
      <c r="B3" s="8" t="s">
        <v>69</v>
      </c>
      <c r="C3" s="17" t="s">
        <v>70</v>
      </c>
      <c r="D3" s="8">
        <v>3.0</v>
      </c>
      <c r="E3" s="8">
        <v>3.0</v>
      </c>
      <c r="F3" s="8">
        <v>0.5</v>
      </c>
      <c r="G3" s="18">
        <f t="shared" si="1"/>
        <v>4.5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2" t="s">
        <v>71</v>
      </c>
      <c r="B4" s="12" t="s">
        <v>72</v>
      </c>
      <c r="C4" s="20" t="s">
        <v>73</v>
      </c>
      <c r="D4" s="12">
        <v>2.0</v>
      </c>
      <c r="E4" s="12">
        <v>2.0</v>
      </c>
      <c r="F4" s="12">
        <v>0.75</v>
      </c>
      <c r="G4" s="5">
        <f t="shared" si="1"/>
        <v>3</v>
      </c>
    </row>
    <row r="5">
      <c r="A5" s="21" t="s">
        <v>74</v>
      </c>
      <c r="B5" s="3" t="s">
        <v>75</v>
      </c>
      <c r="C5" s="4" t="s">
        <v>76</v>
      </c>
      <c r="D5" s="3">
        <v>2.0</v>
      </c>
      <c r="E5" s="3">
        <v>2.0</v>
      </c>
      <c r="F5" s="12">
        <v>0.75</v>
      </c>
      <c r="G5" s="5">
        <f t="shared" si="1"/>
        <v>3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2" t="s">
        <v>77</v>
      </c>
      <c r="B6" s="12" t="s">
        <v>78</v>
      </c>
      <c r="C6" s="20" t="s">
        <v>79</v>
      </c>
      <c r="D6" s="12">
        <v>2.0</v>
      </c>
      <c r="E6" s="12">
        <v>2.0</v>
      </c>
      <c r="F6" s="12">
        <v>0.5</v>
      </c>
      <c r="G6" s="5">
        <f t="shared" si="1"/>
        <v>2</v>
      </c>
    </row>
    <row r="7">
      <c r="A7" s="12" t="s">
        <v>80</v>
      </c>
      <c r="B7" s="12" t="s">
        <v>81</v>
      </c>
      <c r="C7" s="20" t="s">
        <v>82</v>
      </c>
      <c r="D7" s="12">
        <v>1.0</v>
      </c>
      <c r="E7" s="12">
        <v>3.0</v>
      </c>
      <c r="F7" s="12">
        <v>0.5</v>
      </c>
      <c r="G7" s="5">
        <f t="shared" si="1"/>
        <v>1.5</v>
      </c>
    </row>
    <row r="8">
      <c r="A8" s="12" t="s">
        <v>83</v>
      </c>
      <c r="B8" s="12" t="s">
        <v>84</v>
      </c>
      <c r="C8" s="20" t="s">
        <v>85</v>
      </c>
      <c r="D8" s="12">
        <v>2.0</v>
      </c>
      <c r="E8" s="12">
        <v>1.0</v>
      </c>
      <c r="F8" s="12">
        <v>0.75</v>
      </c>
      <c r="G8" s="5">
        <f t="shared" si="1"/>
        <v>1.5</v>
      </c>
    </row>
  </sheetData>
  <autoFilter ref="$A$1:$G$8">
    <sortState ref="A1:G8">
      <sortCondition descending="1" ref="G1:G8"/>
    </sortState>
  </autoFilter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25"/>
    <col customWidth="1" min="2" max="2" width="14.63"/>
  </cols>
  <sheetData>
    <row r="1">
      <c r="A1" s="22" t="s">
        <v>86</v>
      </c>
      <c r="B1" s="22" t="s">
        <v>87</v>
      </c>
      <c r="C1" s="23" t="s">
        <v>88</v>
      </c>
      <c r="D1" s="23" t="s">
        <v>89</v>
      </c>
      <c r="E1" s="23" t="s">
        <v>90</v>
      </c>
      <c r="F1" s="23" t="s">
        <v>6</v>
      </c>
    </row>
    <row r="2">
      <c r="A2" s="24" t="s">
        <v>91</v>
      </c>
      <c r="B2" s="11" t="s">
        <v>92</v>
      </c>
      <c r="C2" s="25" t="s">
        <v>10</v>
      </c>
      <c r="D2" s="25" t="s">
        <v>10</v>
      </c>
      <c r="E2" s="25" t="s">
        <v>15</v>
      </c>
      <c r="F2" s="25">
        <f t="shared" ref="F2:F9" si="1">ROUND(
  10 * (
    (SWITCH(C2,"High",3,"Med",2,"Low",1) * SWITCH(E2,"High",1,"Med",0.75,"Low",0.5))
    / SWITCH(D2,"Low",1,"Med",2,"High",3)
  ) / 3
, 1)</f>
        <v>2.5</v>
      </c>
    </row>
    <row r="3">
      <c r="A3" s="21" t="s">
        <v>93</v>
      </c>
      <c r="B3" s="3" t="s">
        <v>94</v>
      </c>
      <c r="C3" s="26" t="s">
        <v>15</v>
      </c>
      <c r="D3" s="26" t="s">
        <v>15</v>
      </c>
      <c r="E3" s="26" t="s">
        <v>22</v>
      </c>
      <c r="F3" s="26">
        <f t="shared" si="1"/>
        <v>1.7</v>
      </c>
    </row>
    <row r="4">
      <c r="A4" s="21" t="s">
        <v>95</v>
      </c>
      <c r="B4" s="3" t="s">
        <v>92</v>
      </c>
      <c r="C4" s="26" t="s">
        <v>15</v>
      </c>
      <c r="D4" s="26" t="s">
        <v>10</v>
      </c>
      <c r="E4" s="26" t="s">
        <v>15</v>
      </c>
      <c r="F4" s="26">
        <f t="shared" si="1"/>
        <v>1.7</v>
      </c>
    </row>
    <row r="5">
      <c r="A5" s="21" t="s">
        <v>96</v>
      </c>
      <c r="B5" s="3" t="s">
        <v>94</v>
      </c>
      <c r="C5" s="26" t="s">
        <v>15</v>
      </c>
      <c r="D5" s="26" t="s">
        <v>15</v>
      </c>
      <c r="E5" s="26" t="s">
        <v>22</v>
      </c>
      <c r="F5" s="26">
        <f t="shared" si="1"/>
        <v>1.7</v>
      </c>
    </row>
    <row r="6">
      <c r="A6" s="21" t="s">
        <v>97</v>
      </c>
      <c r="B6" s="3" t="s">
        <v>94</v>
      </c>
      <c r="C6" s="26" t="s">
        <v>15</v>
      </c>
      <c r="D6" s="26" t="s">
        <v>15</v>
      </c>
      <c r="E6" s="26" t="s">
        <v>22</v>
      </c>
      <c r="F6" s="26">
        <f t="shared" si="1"/>
        <v>1.7</v>
      </c>
    </row>
    <row r="7">
      <c r="A7" s="21" t="s">
        <v>98</v>
      </c>
      <c r="B7" s="3" t="s">
        <v>60</v>
      </c>
      <c r="C7" s="26" t="s">
        <v>15</v>
      </c>
      <c r="D7" s="26" t="s">
        <v>15</v>
      </c>
      <c r="E7" s="27" t="s">
        <v>22</v>
      </c>
      <c r="F7" s="26">
        <f t="shared" si="1"/>
        <v>1.7</v>
      </c>
    </row>
    <row r="8">
      <c r="A8" s="21" t="s">
        <v>74</v>
      </c>
      <c r="B8" s="3" t="s">
        <v>60</v>
      </c>
      <c r="C8" s="27" t="s">
        <v>22</v>
      </c>
      <c r="D8" s="26" t="s">
        <v>15</v>
      </c>
      <c r="E8" s="26" t="s">
        <v>15</v>
      </c>
      <c r="F8" s="26">
        <f t="shared" si="1"/>
        <v>1.3</v>
      </c>
    </row>
    <row r="9">
      <c r="A9" s="21" t="s">
        <v>68</v>
      </c>
      <c r="B9" s="3" t="s">
        <v>60</v>
      </c>
      <c r="C9" s="26" t="s">
        <v>15</v>
      </c>
      <c r="D9" s="26" t="s">
        <v>10</v>
      </c>
      <c r="E9" s="26" t="s">
        <v>22</v>
      </c>
      <c r="F9" s="26">
        <f t="shared" si="1"/>
        <v>1.1</v>
      </c>
    </row>
  </sheetData>
  <autoFilter ref="$A$1:$F$9">
    <sortState ref="A1:F9">
      <sortCondition descending="1" ref="F1:F9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7.75"/>
    <col customWidth="1" min="3" max="3" width="20.0"/>
    <col customWidth="1" min="4" max="4" width="41.38"/>
  </cols>
  <sheetData>
    <row r="1">
      <c r="A1" s="28" t="s">
        <v>99</v>
      </c>
      <c r="B1" s="29" t="s">
        <v>100</v>
      </c>
      <c r="C1" s="28" t="s">
        <v>101</v>
      </c>
      <c r="D1" s="29" t="s">
        <v>102</v>
      </c>
    </row>
    <row r="2">
      <c r="A2" s="3" t="s">
        <v>103</v>
      </c>
      <c r="B2" s="30" t="str">
        <f t="shared" ref="B2:B30" si="1">A2</f>
        <v>Plan</v>
      </c>
      <c r="C2" s="3" t="s">
        <v>104</v>
      </c>
      <c r="D2" s="30" t="s">
        <v>105</v>
      </c>
    </row>
    <row r="3">
      <c r="A3" s="3" t="s">
        <v>103</v>
      </c>
      <c r="B3" s="30" t="str">
        <f t="shared" si="1"/>
        <v>Plan</v>
      </c>
      <c r="C3" s="3" t="s">
        <v>106</v>
      </c>
      <c r="D3" s="30" t="s">
        <v>107</v>
      </c>
    </row>
    <row r="4">
      <c r="A4" s="30" t="s">
        <v>108</v>
      </c>
      <c r="B4" s="30" t="str">
        <f t="shared" si="1"/>
        <v>Requirements</v>
      </c>
      <c r="C4" s="3" t="s">
        <v>109</v>
      </c>
      <c r="D4" s="30" t="s">
        <v>110</v>
      </c>
    </row>
    <row r="5">
      <c r="A5" s="30" t="s">
        <v>108</v>
      </c>
      <c r="B5" s="30" t="str">
        <f t="shared" si="1"/>
        <v>Requirements</v>
      </c>
      <c r="C5" s="3" t="s">
        <v>111</v>
      </c>
      <c r="D5" s="30" t="s">
        <v>112</v>
      </c>
    </row>
    <row r="6">
      <c r="A6" s="30" t="s">
        <v>113</v>
      </c>
      <c r="B6" s="30" t="str">
        <f t="shared" si="1"/>
        <v>Design</v>
      </c>
      <c r="C6" s="30" t="s">
        <v>114</v>
      </c>
      <c r="D6" s="30" t="s">
        <v>115</v>
      </c>
    </row>
    <row r="7">
      <c r="A7" s="30" t="s">
        <v>113</v>
      </c>
      <c r="B7" s="30" t="str">
        <f t="shared" si="1"/>
        <v>Design</v>
      </c>
      <c r="C7" s="30" t="s">
        <v>116</v>
      </c>
      <c r="D7" s="30" t="s">
        <v>117</v>
      </c>
    </row>
    <row r="8">
      <c r="A8" s="30" t="s">
        <v>113</v>
      </c>
      <c r="B8" s="30" t="str">
        <f t="shared" si="1"/>
        <v>Design</v>
      </c>
      <c r="C8" s="30" t="s">
        <v>118</v>
      </c>
      <c r="D8" s="30" t="s">
        <v>119</v>
      </c>
    </row>
    <row r="9">
      <c r="A9" s="30" t="s">
        <v>113</v>
      </c>
      <c r="B9" s="30" t="str">
        <f t="shared" si="1"/>
        <v>Design</v>
      </c>
      <c r="C9" s="30" t="s">
        <v>120</v>
      </c>
      <c r="D9" s="30" t="s">
        <v>121</v>
      </c>
    </row>
    <row r="10">
      <c r="A10" s="30" t="s">
        <v>113</v>
      </c>
      <c r="B10" s="30" t="str">
        <f t="shared" si="1"/>
        <v>Design</v>
      </c>
      <c r="C10" s="30" t="s">
        <v>122</v>
      </c>
      <c r="D10" s="30" t="s">
        <v>123</v>
      </c>
    </row>
    <row r="11">
      <c r="A11" s="3" t="s">
        <v>124</v>
      </c>
      <c r="B11" s="30" t="str">
        <f t="shared" si="1"/>
        <v>Build</v>
      </c>
      <c r="C11" s="31" t="s">
        <v>125</v>
      </c>
      <c r="D11" s="31" t="s">
        <v>126</v>
      </c>
    </row>
    <row r="12">
      <c r="A12" s="3" t="s">
        <v>124</v>
      </c>
      <c r="B12" s="30" t="str">
        <f t="shared" si="1"/>
        <v>Build</v>
      </c>
      <c r="C12" s="31" t="s">
        <v>127</v>
      </c>
      <c r="D12" s="30" t="s">
        <v>128</v>
      </c>
    </row>
    <row r="13">
      <c r="A13" s="3" t="s">
        <v>124</v>
      </c>
      <c r="B13" s="30" t="str">
        <f t="shared" si="1"/>
        <v>Build</v>
      </c>
      <c r="C13" s="30" t="s">
        <v>129</v>
      </c>
      <c r="D13" s="30" t="s">
        <v>130</v>
      </c>
    </row>
    <row r="14">
      <c r="A14" s="3" t="s">
        <v>124</v>
      </c>
      <c r="B14" s="30" t="str">
        <f t="shared" si="1"/>
        <v>Build</v>
      </c>
      <c r="C14" s="30" t="s">
        <v>131</v>
      </c>
      <c r="D14" s="30" t="s">
        <v>132</v>
      </c>
    </row>
    <row r="15">
      <c r="A15" s="3" t="s">
        <v>124</v>
      </c>
      <c r="B15" s="30" t="str">
        <f t="shared" si="1"/>
        <v>Build</v>
      </c>
      <c r="C15" s="30" t="s">
        <v>133</v>
      </c>
      <c r="D15" s="30" t="s">
        <v>134</v>
      </c>
    </row>
    <row r="16">
      <c r="A16" s="3" t="s">
        <v>124</v>
      </c>
      <c r="B16" s="30" t="str">
        <f t="shared" si="1"/>
        <v>Build</v>
      </c>
      <c r="C16" s="30" t="s">
        <v>135</v>
      </c>
      <c r="D16" s="30" t="s">
        <v>136</v>
      </c>
    </row>
    <row r="17">
      <c r="A17" s="3" t="s">
        <v>137</v>
      </c>
      <c r="B17" s="30" t="str">
        <f t="shared" si="1"/>
        <v>Test</v>
      </c>
      <c r="C17" s="30" t="s">
        <v>138</v>
      </c>
      <c r="D17" s="30" t="s">
        <v>139</v>
      </c>
    </row>
    <row r="18">
      <c r="A18" s="3" t="s">
        <v>124</v>
      </c>
      <c r="B18" s="30" t="str">
        <f t="shared" si="1"/>
        <v>Build</v>
      </c>
      <c r="C18" s="30" t="s">
        <v>140</v>
      </c>
      <c r="D18" s="30" t="s">
        <v>141</v>
      </c>
    </row>
    <row r="19">
      <c r="A19" s="3" t="s">
        <v>137</v>
      </c>
      <c r="B19" s="30" t="str">
        <f t="shared" si="1"/>
        <v>Test</v>
      </c>
      <c r="C19" s="30" t="s">
        <v>142</v>
      </c>
      <c r="D19" s="30" t="s">
        <v>143</v>
      </c>
    </row>
    <row r="20">
      <c r="A20" s="3" t="s">
        <v>137</v>
      </c>
      <c r="B20" s="30" t="str">
        <f t="shared" si="1"/>
        <v>Test</v>
      </c>
      <c r="C20" s="30" t="s">
        <v>144</v>
      </c>
      <c r="D20" s="30" t="s">
        <v>145</v>
      </c>
    </row>
    <row r="21">
      <c r="A21" s="3" t="s">
        <v>137</v>
      </c>
      <c r="B21" s="30" t="str">
        <f t="shared" si="1"/>
        <v>Test</v>
      </c>
      <c r="C21" s="30" t="s">
        <v>146</v>
      </c>
      <c r="D21" s="30" t="s">
        <v>147</v>
      </c>
    </row>
    <row r="22">
      <c r="A22" s="3" t="s">
        <v>137</v>
      </c>
      <c r="B22" s="30" t="str">
        <f t="shared" si="1"/>
        <v>Test</v>
      </c>
      <c r="C22" s="30" t="s">
        <v>148</v>
      </c>
      <c r="D22" s="30" t="s">
        <v>149</v>
      </c>
    </row>
    <row r="23">
      <c r="A23" s="3" t="s">
        <v>137</v>
      </c>
      <c r="B23" s="30" t="str">
        <f t="shared" si="1"/>
        <v>Test</v>
      </c>
      <c r="C23" s="30" t="s">
        <v>150</v>
      </c>
      <c r="D23" s="30" t="s">
        <v>151</v>
      </c>
    </row>
    <row r="24">
      <c r="A24" s="3" t="s">
        <v>137</v>
      </c>
      <c r="B24" s="30" t="str">
        <f t="shared" si="1"/>
        <v>Test</v>
      </c>
      <c r="C24" s="30" t="s">
        <v>152</v>
      </c>
      <c r="D24" s="30" t="s">
        <v>153</v>
      </c>
    </row>
    <row r="25">
      <c r="A25" s="3" t="s">
        <v>154</v>
      </c>
      <c r="B25" s="30" t="str">
        <f t="shared" si="1"/>
        <v>Release</v>
      </c>
      <c r="C25" s="30" t="s">
        <v>155</v>
      </c>
      <c r="D25" s="30" t="s">
        <v>156</v>
      </c>
    </row>
    <row r="26">
      <c r="A26" s="3" t="s">
        <v>154</v>
      </c>
      <c r="B26" s="30" t="str">
        <f t="shared" si="1"/>
        <v>Release</v>
      </c>
      <c r="C26" s="30" t="s">
        <v>157</v>
      </c>
      <c r="D26" s="30" t="s">
        <v>158</v>
      </c>
    </row>
    <row r="27">
      <c r="A27" s="3" t="s">
        <v>154</v>
      </c>
      <c r="B27" s="30" t="str">
        <f t="shared" si="1"/>
        <v>Release</v>
      </c>
      <c r="C27" s="30" t="s">
        <v>159</v>
      </c>
      <c r="D27" s="30" t="s">
        <v>160</v>
      </c>
    </row>
    <row r="28">
      <c r="A28" s="3" t="s">
        <v>154</v>
      </c>
      <c r="B28" s="30" t="str">
        <f t="shared" si="1"/>
        <v>Release</v>
      </c>
      <c r="C28" s="30" t="s">
        <v>161</v>
      </c>
      <c r="D28" s="30" t="s">
        <v>162</v>
      </c>
    </row>
    <row r="29">
      <c r="A29" s="3" t="s">
        <v>154</v>
      </c>
      <c r="B29" s="30" t="str">
        <f t="shared" si="1"/>
        <v>Release</v>
      </c>
      <c r="C29" s="30" t="s">
        <v>163</v>
      </c>
      <c r="D29" s="30" t="s">
        <v>164</v>
      </c>
    </row>
    <row r="30">
      <c r="A30" s="3" t="s">
        <v>154</v>
      </c>
      <c r="B30" s="30" t="str">
        <f t="shared" si="1"/>
        <v>Release</v>
      </c>
      <c r="C30" s="30" t="s">
        <v>165</v>
      </c>
      <c r="D30" s="30" t="s">
        <v>166</v>
      </c>
    </row>
    <row r="31">
      <c r="A31" s="3" t="s">
        <v>167</v>
      </c>
      <c r="B31" s="31" t="s">
        <v>168</v>
      </c>
      <c r="C31" s="30" t="s">
        <v>169</v>
      </c>
      <c r="D31" s="30" t="s">
        <v>170</v>
      </c>
    </row>
    <row r="32">
      <c r="A32" s="3" t="s">
        <v>167</v>
      </c>
      <c r="B32" s="31" t="s">
        <v>168</v>
      </c>
      <c r="C32" s="30" t="s">
        <v>171</v>
      </c>
      <c r="D32" s="30" t="s">
        <v>172</v>
      </c>
    </row>
    <row r="33">
      <c r="A33" s="3" t="s">
        <v>167</v>
      </c>
      <c r="B33" s="31" t="s">
        <v>168</v>
      </c>
      <c r="C33" s="30" t="s">
        <v>173</v>
      </c>
      <c r="D33" s="30" t="s">
        <v>174</v>
      </c>
    </row>
    <row r="34">
      <c r="A34" s="3" t="s">
        <v>167</v>
      </c>
      <c r="B34" s="31" t="s">
        <v>168</v>
      </c>
      <c r="C34" s="30" t="s">
        <v>175</v>
      </c>
      <c r="D34" s="30" t="s">
        <v>176</v>
      </c>
    </row>
    <row r="35">
      <c r="A35" s="3" t="s">
        <v>167</v>
      </c>
      <c r="B35" s="31" t="s">
        <v>168</v>
      </c>
      <c r="C35" s="30" t="s">
        <v>177</v>
      </c>
      <c r="D35" s="30" t="s">
        <v>178</v>
      </c>
    </row>
    <row r="36">
      <c r="A36" s="3" t="s">
        <v>167</v>
      </c>
      <c r="B36" s="31" t="s">
        <v>168</v>
      </c>
      <c r="C36" s="30" t="s">
        <v>179</v>
      </c>
      <c r="D36" s="30" t="s">
        <v>180</v>
      </c>
    </row>
    <row r="37">
      <c r="A37" s="3" t="s">
        <v>167</v>
      </c>
      <c r="B37" s="3" t="s">
        <v>181</v>
      </c>
      <c r="C37" s="3" t="s">
        <v>182</v>
      </c>
      <c r="D37" s="30" t="s">
        <v>183</v>
      </c>
    </row>
    <row r="38">
      <c r="A38" s="3" t="s">
        <v>167</v>
      </c>
      <c r="B38" s="3" t="s">
        <v>181</v>
      </c>
      <c r="C38" s="3" t="s">
        <v>184</v>
      </c>
      <c r="D38" s="30" t="s">
        <v>185</v>
      </c>
    </row>
    <row r="39">
      <c r="A39" s="3" t="s">
        <v>167</v>
      </c>
      <c r="B39" s="3" t="s">
        <v>181</v>
      </c>
      <c r="C39" s="30" t="s">
        <v>186</v>
      </c>
      <c r="D39" s="30" t="s">
        <v>187</v>
      </c>
    </row>
    <row r="40">
      <c r="A40" s="3" t="s">
        <v>167</v>
      </c>
      <c r="B40" s="3" t="s">
        <v>188</v>
      </c>
      <c r="C40" s="30" t="s">
        <v>189</v>
      </c>
      <c r="D40" s="30" t="s">
        <v>190</v>
      </c>
    </row>
    <row r="41">
      <c r="A41" s="3" t="s">
        <v>167</v>
      </c>
      <c r="B41" s="3" t="s">
        <v>188</v>
      </c>
      <c r="C41" s="30" t="s">
        <v>191</v>
      </c>
      <c r="D41" s="30" t="s">
        <v>192</v>
      </c>
    </row>
    <row r="42">
      <c r="A42" s="3" t="s">
        <v>167</v>
      </c>
      <c r="B42" s="3" t="s">
        <v>188</v>
      </c>
      <c r="C42" s="30" t="s">
        <v>193</v>
      </c>
      <c r="D42" s="30" t="s">
        <v>194</v>
      </c>
    </row>
    <row r="43">
      <c r="A43" s="3" t="s">
        <v>167</v>
      </c>
      <c r="B43" s="3" t="s">
        <v>188</v>
      </c>
      <c r="C43" s="30" t="s">
        <v>195</v>
      </c>
      <c r="D43" s="30" t="s">
        <v>196</v>
      </c>
    </row>
    <row r="44">
      <c r="A44" s="3" t="s">
        <v>167</v>
      </c>
      <c r="B44" s="3" t="s">
        <v>188</v>
      </c>
      <c r="C44" s="30" t="s">
        <v>197</v>
      </c>
      <c r="D44" s="30" t="s">
        <v>198</v>
      </c>
    </row>
    <row r="45">
      <c r="A45" s="3" t="s">
        <v>167</v>
      </c>
      <c r="B45" s="3" t="s">
        <v>188</v>
      </c>
      <c r="C45" s="30" t="s">
        <v>199</v>
      </c>
      <c r="D45" s="30" t="s">
        <v>200</v>
      </c>
    </row>
    <row r="46">
      <c r="A46" s="3" t="s">
        <v>167</v>
      </c>
      <c r="B46" s="3" t="s">
        <v>188</v>
      </c>
      <c r="C46" s="30" t="s">
        <v>201</v>
      </c>
      <c r="D46" s="30" t="s">
        <v>202</v>
      </c>
    </row>
    <row r="47">
      <c r="A47" s="3" t="s">
        <v>167</v>
      </c>
      <c r="B47" s="3" t="s">
        <v>188</v>
      </c>
      <c r="C47" s="30" t="s">
        <v>203</v>
      </c>
      <c r="D47" s="30" t="s">
        <v>204</v>
      </c>
    </row>
  </sheetData>
  <autoFilter ref="$A$1:$D$47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100</v>
      </c>
    </row>
    <row r="2">
      <c r="A2" s="32" t="s">
        <v>103</v>
      </c>
    </row>
    <row r="3">
      <c r="A3" s="32" t="s">
        <v>108</v>
      </c>
    </row>
    <row r="4">
      <c r="A4" s="32" t="s">
        <v>113</v>
      </c>
    </row>
    <row r="5">
      <c r="A5" s="32" t="s">
        <v>124</v>
      </c>
    </row>
    <row r="6">
      <c r="A6" s="32" t="s">
        <v>137</v>
      </c>
    </row>
    <row r="7">
      <c r="A7" s="32" t="s">
        <v>154</v>
      </c>
    </row>
    <row r="8">
      <c r="A8" s="15" t="s">
        <v>168</v>
      </c>
    </row>
    <row r="9">
      <c r="A9" s="15" t="s">
        <v>181</v>
      </c>
    </row>
    <row r="10">
      <c r="A10" s="15" t="s">
        <v>188</v>
      </c>
    </row>
  </sheetData>
  <drawing r:id="rId1"/>
</worksheet>
</file>